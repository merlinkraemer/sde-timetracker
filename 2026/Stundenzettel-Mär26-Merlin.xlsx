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820" windowWidth="29080" windowHeight="18120" tabRatio="600" firstSheet="0" activeTab="0" autoFilterDateGrouping="1"/>
  </bookViews>
  <sheets>
    <sheet name="Mär26" sheetId="1" state="visible" r:id="rId1"/>
    <sheet name="Überstunde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\ &quot;€/Std&quot;"/>
    <numFmt numFmtId="165" formatCode="[$-F400]h:mm:ss\ AM/PM"/>
    <numFmt numFmtId="166" formatCode="yyyy-mm-dd h:mm:ss"/>
  </numFmts>
  <fonts count="18">
    <font>
      <name val="Calibri"/>
      <color rgb="FF000000"/>
      <sz val="10"/>
      <scheme val="minor"/>
    </font>
    <font>
      <name val="Calibri"/>
      <family val="2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8"/>
    </font>
    <font>
      <name val="Calibri"/>
      <family val="2"/>
      <color rgb="FF000000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theme="1"/>
      <sz val="8"/>
    </font>
    <font>
      <name val="Arial"/>
      <family val="2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sz val="8"/>
    </font>
    <font>
      <sz val="10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7" fillId="0" borderId="0"/>
  </cellStyleXfs>
  <cellXfs count="123">
    <xf numFmtId="0" fontId="0" fillId="0" borderId="0" pivotButton="0" quotePrefix="0" xfId="0"/>
    <xf numFmtId="0" fontId="1" fillId="0" borderId="0" pivotButton="0" quotePrefix="0" xfId="0"/>
    <xf numFmtId="20" fontId="2" fillId="0" borderId="0" pivotButton="0" quotePrefix="0" xfId="0"/>
    <xf numFmtId="4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7" fillId="0" borderId="0" pivotButton="0" quotePrefix="0" xfId="0"/>
    <xf numFmtId="14" fontId="2" fillId="0" borderId="3" applyAlignment="1" pivotButton="0" quotePrefix="0" xfId="0">
      <alignment horizontal="center"/>
    </xf>
    <xf numFmtId="0" fontId="2" fillId="0" borderId="3" pivotButton="0" quotePrefix="0" xfId="0"/>
    <xf numFmtId="0" fontId="9" fillId="0" borderId="3" pivotButton="0" quotePrefix="0" xfId="0"/>
    <xf numFmtId="0" fontId="3" fillId="0" borderId="3" applyAlignment="1" pivotButton="0" quotePrefix="0" xfId="0">
      <alignment horizontal="right"/>
    </xf>
    <xf numFmtId="20" fontId="3" fillId="0" borderId="3" applyAlignment="1" pivotButton="0" quotePrefix="0" xfId="0">
      <alignment horizontal="right"/>
    </xf>
    <xf numFmtId="20" fontId="2" fillId="0" borderId="3" pivotButton="0" quotePrefix="0" xfId="0"/>
    <xf numFmtId="14" fontId="2" fillId="0" borderId="0" applyAlignment="1" pivotButton="0" quotePrefix="0" xfId="0">
      <alignment horizontal="center"/>
    </xf>
    <xf numFmtId="46" fontId="1" fillId="0" borderId="0" pivotButton="0" quotePrefix="0" xfId="0"/>
    <xf numFmtId="4" fontId="1" fillId="0" borderId="0" pivotButton="0" quotePrefix="0" xfId="0"/>
    <xf numFmtId="2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3" pivotButton="0" quotePrefix="0" xfId="0"/>
    <xf numFmtId="2" fontId="1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right"/>
    </xf>
    <xf numFmtId="2" fontId="7" fillId="0" borderId="3" applyAlignment="1" pivotButton="0" quotePrefix="0" xfId="0">
      <alignment horizontal="center"/>
    </xf>
    <xf numFmtId="2" fontId="1" fillId="0" borderId="3" pivotButton="0" quotePrefix="0" xfId="0"/>
    <xf numFmtId="165" fontId="1" fillId="0" borderId="3" pivotButton="0" quotePrefix="0" xfId="0"/>
    <xf numFmtId="165" fontId="6" fillId="0" borderId="3" pivotButton="0" quotePrefix="0" xfId="0"/>
    <xf numFmtId="165" fontId="5" fillId="0" borderId="3" pivotButton="0" quotePrefix="0" xfId="0"/>
    <xf numFmtId="165" fontId="7" fillId="0" borderId="3" pivotButton="0" quotePrefix="0" xfId="0"/>
    <xf numFmtId="17" fontId="0" fillId="0" borderId="0" pivotButton="0" quotePrefix="0" xfId="0"/>
    <xf numFmtId="0" fontId="8" fillId="0" borderId="3" pivotButton="0" quotePrefix="0" xfId="0"/>
    <xf numFmtId="17" fontId="0" fillId="0" borderId="3" pivotButton="0" quotePrefix="0" xfId="0"/>
    <xf numFmtId="17" fontId="8" fillId="0" borderId="0" pivotButton="0" quotePrefix="0" xfId="0"/>
    <xf numFmtId="2" fontId="0" fillId="0" borderId="3" pivotButton="0" quotePrefix="0" xfId="0"/>
    <xf numFmtId="0" fontId="5" fillId="0" borderId="3" applyAlignment="1" pivotButton="0" quotePrefix="0" xfId="0">
      <alignment horizontal="left"/>
    </xf>
    <xf numFmtId="0" fontId="7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165" fontId="7" fillId="0" borderId="0" pivotButton="0" quotePrefix="0" xfId="0"/>
    <xf numFmtId="0" fontId="10" fillId="0" borderId="3" applyAlignment="1" pivotButton="0" quotePrefix="0" xfId="0">
      <alignment horizontal="center"/>
    </xf>
    <xf numFmtId="20" fontId="10" fillId="0" borderId="3" applyAlignment="1" pivotButton="0" quotePrefix="0" xfId="0">
      <alignment horizontal="center"/>
    </xf>
    <xf numFmtId="4" fontId="10" fillId="0" borderId="3" applyAlignment="1" pivotButton="0" quotePrefix="0" xfId="0">
      <alignment horizontal="center"/>
    </xf>
    <xf numFmtId="2" fontId="10" fillId="0" borderId="3" applyAlignment="1" pivotButton="0" quotePrefix="0" xfId="0">
      <alignment horizontal="center"/>
    </xf>
    <xf numFmtId="2" fontId="3" fillId="0" borderId="3" applyAlignment="1" pivotButton="0" quotePrefix="0" xfId="0">
      <alignment horizontal="center"/>
    </xf>
    <xf numFmtId="0" fontId="11" fillId="0" borderId="3" pivotButton="0" quotePrefix="0" xfId="0"/>
    <xf numFmtId="2" fontId="1" fillId="2" borderId="3" pivotButton="0" quotePrefix="0" xfId="0"/>
    <xf numFmtId="0" fontId="7" fillId="2" borderId="3" pivotButton="0" quotePrefix="0" xfId="0"/>
    <xf numFmtId="0" fontId="0" fillId="0" borderId="3" pivotButton="0" quotePrefix="0" xfId="0"/>
    <xf numFmtId="14" fontId="2" fillId="0" borderId="5" applyAlignment="1" pivotButton="0" quotePrefix="0" xfId="0">
      <alignment horizontal="center"/>
    </xf>
    <xf numFmtId="20" fontId="0" fillId="0" borderId="3" pivotButton="0" quotePrefix="0" xfId="0"/>
    <xf numFmtId="0" fontId="7" fillId="0" borderId="0" pivotButton="0" quotePrefix="0" xfId="1"/>
    <xf numFmtId="2" fontId="7" fillId="0" borderId="3" applyAlignment="1" pivotButton="0" quotePrefix="0" xfId="1">
      <alignment horizontal="center"/>
    </xf>
    <xf numFmtId="20" fontId="2" fillId="0" borderId="3" pivotButton="0" quotePrefix="0" xfId="1"/>
    <xf numFmtId="0" fontId="7" fillId="0" borderId="3" applyAlignment="1" pivotButton="0" quotePrefix="0" xfId="1">
      <alignment horizontal="right"/>
    </xf>
    <xf numFmtId="4" fontId="2" fillId="0" borderId="0" applyAlignment="1" pivotButton="0" quotePrefix="0" xfId="1">
      <alignment horizontal="center"/>
    </xf>
    <xf numFmtId="2" fontId="1" fillId="0" borderId="3" applyAlignment="1" pivotButton="0" quotePrefix="0" xfId="1">
      <alignment horizontal="center"/>
    </xf>
    <xf numFmtId="0" fontId="11" fillId="0" borderId="3" pivotButton="0" quotePrefix="0" xfId="1"/>
    <xf numFmtId="2" fontId="3" fillId="0" borderId="3" applyAlignment="1" pivotButton="0" quotePrefix="0" xfId="1">
      <alignment horizontal="center"/>
    </xf>
    <xf numFmtId="20" fontId="3" fillId="0" borderId="3" applyAlignment="1" pivotButton="0" quotePrefix="0" xfId="1">
      <alignment horizontal="right"/>
    </xf>
    <xf numFmtId="0" fontId="3" fillId="0" borderId="3" applyAlignment="1" pivotButton="0" quotePrefix="0" xfId="1">
      <alignment horizontal="right"/>
    </xf>
    <xf numFmtId="164" fontId="4" fillId="0" borderId="0" applyAlignment="1" pivotButton="0" quotePrefix="0" xfId="1">
      <alignment horizontal="center"/>
    </xf>
    <xf numFmtId="20" fontId="4" fillId="0" borderId="0" applyAlignment="1" pivotButton="0" quotePrefix="0" xfId="1">
      <alignment horizontal="center"/>
    </xf>
    <xf numFmtId="14" fontId="2" fillId="0" borderId="0" applyAlignment="1" pivotButton="0" quotePrefix="0" xfId="1">
      <alignment horizontal="center"/>
    </xf>
    <xf numFmtId="0" fontId="2" fillId="0" borderId="0" pivotButton="0" quotePrefix="0" xfId="1"/>
    <xf numFmtId="2" fontId="2" fillId="0" borderId="0" applyAlignment="1" pivotButton="0" quotePrefix="0" xfId="1">
      <alignment horizontal="center"/>
    </xf>
    <xf numFmtId="46" fontId="1" fillId="0" borderId="0" pivotButton="0" quotePrefix="0" xfId="1"/>
    <xf numFmtId="4" fontId="1" fillId="0" borderId="0" pivotButton="0" quotePrefix="0" xfId="1"/>
    <xf numFmtId="0" fontId="7" fillId="0" borderId="3" pivotButton="0" quotePrefix="0" xfId="1"/>
    <xf numFmtId="2" fontId="1" fillId="0" borderId="3" pivotButton="0" quotePrefix="0" xfId="1"/>
    <xf numFmtId="20" fontId="7" fillId="0" borderId="3" pivotButton="0" quotePrefix="0" xfId="1"/>
    <xf numFmtId="14" fontId="2" fillId="0" borderId="5" applyAlignment="1" pivotButton="0" quotePrefix="0" xfId="1">
      <alignment horizontal="center"/>
    </xf>
    <xf numFmtId="14" fontId="2" fillId="0" borderId="3" applyAlignment="1" pivotButton="0" quotePrefix="0" xfId="1">
      <alignment horizontal="center"/>
    </xf>
    <xf numFmtId="0" fontId="2" fillId="0" borderId="3" pivotButton="0" quotePrefix="0" xfId="1"/>
    <xf numFmtId="0" fontId="2" fillId="0" borderId="3" applyAlignment="1" pivotButton="0" quotePrefix="0" xfId="1">
      <alignment horizontal="left"/>
    </xf>
    <xf numFmtId="165" fontId="5" fillId="0" borderId="3" pivotButton="0" quotePrefix="0" xfId="1"/>
    <xf numFmtId="0" fontId="5" fillId="0" borderId="3" applyAlignment="1" pivotButton="0" quotePrefix="0" xfId="1">
      <alignment horizontal="left"/>
    </xf>
    <xf numFmtId="0" fontId="7" fillId="0" borderId="3" applyAlignment="1" pivotButton="0" quotePrefix="0" xfId="1">
      <alignment horizontal="left"/>
    </xf>
    <xf numFmtId="165" fontId="7" fillId="0" borderId="3" pivotButton="0" quotePrefix="0" xfId="1"/>
    <xf numFmtId="0" fontId="9" fillId="0" borderId="3" pivotButton="0" quotePrefix="0" xfId="1"/>
    <xf numFmtId="165" fontId="6" fillId="0" borderId="3" pivotButton="0" quotePrefix="0" xfId="1"/>
    <xf numFmtId="165" fontId="1" fillId="0" borderId="3" pivotButton="0" quotePrefix="0" xfId="1"/>
    <xf numFmtId="165" fontId="7" fillId="0" borderId="0" pivotButton="0" quotePrefix="0" xfId="1"/>
    <xf numFmtId="0" fontId="10" fillId="0" borderId="3" applyAlignment="1" pivotButton="0" quotePrefix="0" xfId="1">
      <alignment horizontal="center"/>
    </xf>
    <xf numFmtId="2" fontId="10" fillId="0" borderId="3" applyAlignment="1" pivotButton="0" quotePrefix="0" xfId="1">
      <alignment horizontal="center"/>
    </xf>
    <xf numFmtId="4" fontId="10" fillId="0" borderId="3" applyAlignment="1" pivotButton="0" quotePrefix="0" xfId="1">
      <alignment horizontal="center"/>
    </xf>
    <xf numFmtId="20" fontId="10" fillId="0" borderId="3" applyAlignment="1" pivotButton="0" quotePrefix="0" xfId="1">
      <alignment horizontal="center"/>
    </xf>
    <xf numFmtId="2" fontId="3" fillId="0" borderId="0" applyAlignment="1" pivotButton="0" quotePrefix="0" xfId="1">
      <alignment horizontal="center"/>
    </xf>
    <xf numFmtId="20" fontId="2" fillId="0" borderId="0" pivotButton="0" quotePrefix="0" xfId="1"/>
    <xf numFmtId="0" fontId="3" fillId="0" borderId="2" applyAlignment="1" pivotButton="0" quotePrefix="0" xfId="1">
      <alignment horizontal="center"/>
    </xf>
    <xf numFmtId="0" fontId="1" fillId="0" borderId="0" pivotButton="0" quotePrefix="0" xfId="1"/>
    <xf numFmtId="0" fontId="3" fillId="0" borderId="1" applyAlignment="1" pivotButton="0" quotePrefix="0" xfId="1">
      <alignment horizontal="center"/>
    </xf>
    <xf numFmtId="0" fontId="12" fillId="0" borderId="7" pivotButton="0" quotePrefix="0" xfId="0"/>
    <xf numFmtId="0" fontId="13" fillId="0" borderId="7" pivotButton="0" quotePrefix="0" xfId="0"/>
    <xf numFmtId="0" fontId="14" fillId="0" borderId="7" pivotButton="0" quotePrefix="0" xfId="0"/>
    <xf numFmtId="14" fontId="12" fillId="0" borderId="7" applyAlignment="1" pivotButton="0" quotePrefix="0" xfId="0">
      <alignment horizontal="center"/>
    </xf>
    <xf numFmtId="20" fontId="12" fillId="0" borderId="7" pivotButton="0" quotePrefix="0" xfId="0"/>
    <xf numFmtId="2" fontId="12" fillId="0" borderId="7" pivotButton="0" quotePrefix="0" xfId="0"/>
    <xf numFmtId="0" fontId="12" fillId="0" borderId="7" applyAlignment="1" pivotButton="0" quotePrefix="0" xfId="0">
      <alignment horizontal="left"/>
    </xf>
    <xf numFmtId="0" fontId="13" fillId="0" borderId="7" applyAlignment="1" pivotButton="0" quotePrefix="0" xfId="0">
      <alignment horizontal="right"/>
    </xf>
    <xf numFmtId="2" fontId="13" fillId="0" borderId="7" applyAlignment="1" pivotButton="0" quotePrefix="0" xfId="0">
      <alignment horizontal="center"/>
    </xf>
    <xf numFmtId="2" fontId="12" fillId="0" borderId="7" applyAlignment="1" pivotButton="0" quotePrefix="0" xfId="0">
      <alignment horizontal="center"/>
    </xf>
    <xf numFmtId="0" fontId="12" fillId="0" borderId="7" applyAlignment="1" pivotButton="0" quotePrefix="0" xfId="0">
      <alignment horizontal="right"/>
    </xf>
    <xf numFmtId="17" fontId="0" fillId="0" borderId="7" pivotButton="0" quotePrefix="0" xfId="0"/>
    <xf numFmtId="2" fontId="0" fillId="0" borderId="7" pivotButton="0" quotePrefix="0" xfId="0"/>
    <xf numFmtId="17" fontId="13" fillId="0" borderId="0" pivotButton="0" quotePrefix="0" xfId="0"/>
    <xf numFmtId="20" fontId="2" fillId="0" borderId="6" applyAlignment="1" pivotButton="0" quotePrefix="0" xfId="0">
      <alignment horizontal="center"/>
    </xf>
    <xf numFmtId="0" fontId="0" fillId="0" borderId="4" pivotButton="0" quotePrefix="0" xfId="0"/>
    <xf numFmtId="20" fontId="2" fillId="0" borderId="6" applyAlignment="1" pivotButton="0" quotePrefix="0" xfId="1">
      <alignment horizontal="center"/>
    </xf>
    <xf numFmtId="0" fontId="15" fillId="0" borderId="9" pivotButton="0" quotePrefix="0" xfId="0"/>
    <xf numFmtId="0" fontId="16" fillId="0" borderId="9" pivotButton="0" quotePrefix="0" xfId="0"/>
    <xf numFmtId="0" fontId="17" fillId="0" borderId="9" pivotButton="0" quotePrefix="0" xfId="0"/>
    <xf numFmtId="14" fontId="15" fillId="0" borderId="9" applyAlignment="1" pivotButton="0" quotePrefix="0" xfId="0">
      <alignment horizontal="center"/>
    </xf>
    <xf numFmtId="20" fontId="15" fillId="0" borderId="9" pivotButton="0" quotePrefix="0" xfId="0"/>
    <xf numFmtId="2" fontId="15" fillId="0" borderId="9" pivotButton="0" quotePrefix="0" xfId="0"/>
    <xf numFmtId="0" fontId="15" fillId="0" borderId="9" applyAlignment="1" pivotButton="0" quotePrefix="0" xfId="0">
      <alignment horizontal="left"/>
    </xf>
    <xf numFmtId="0" fontId="16" fillId="0" borderId="9" applyAlignment="1" pivotButton="0" quotePrefix="0" xfId="0">
      <alignment horizontal="right"/>
    </xf>
    <xf numFmtId="2" fontId="16" fillId="0" borderId="9" applyAlignment="1" pivotButton="0" quotePrefix="0" xfId="0">
      <alignment horizontal="center"/>
    </xf>
    <xf numFmtId="2" fontId="15" fillId="0" borderId="9" applyAlignment="1" pivotButton="0" quotePrefix="0" xfId="0">
      <alignment horizontal="center"/>
    </xf>
    <xf numFmtId="0" fontId="15" fillId="0" borderId="9" applyAlignment="1" pivotButton="0" quotePrefix="0" xfId="0">
      <alignment horizontal="right"/>
    </xf>
    <xf numFmtId="17" fontId="0" fillId="0" borderId="9" pivotButton="0" quotePrefix="0" xfId="0"/>
    <xf numFmtId="2" fontId="0" fillId="0" borderId="9" pivotButton="0" quotePrefix="0" xfId="0"/>
    <xf numFmtId="17" fontId="16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7.4" customWidth="1" min="3" max="3"/>
    <col width="13" customWidth="1" min="4" max="4"/>
    <col width="40.4" customWidth="1" min="6" max="6"/>
  </cols>
  <sheetData>
    <row r="1">
      <c r="A1" s="109" t="inlineStr">
        <is>
          <t xml:space="preserve">Aufwandsnachweis für BV. </t>
        </is>
      </c>
      <c r="F1" s="110" t="inlineStr">
        <is>
          <t>SUB-events GmbH</t>
        </is>
      </c>
    </row>
    <row r="2">
      <c r="A2" t="inlineStr">
        <is>
          <t>NAME</t>
        </is>
      </c>
      <c r="B2" t="inlineStr">
        <is>
          <t>Merlin Krämer</t>
        </is>
      </c>
      <c r="F2" s="110" t="inlineStr">
        <is>
          <t>Lauenbruch Ost 1, 21079 Hamburg</t>
        </is>
      </c>
    </row>
    <row r="4">
      <c r="B4" t="inlineStr">
        <is>
          <t>incl. Pausen + Fahrtzeit</t>
        </is>
      </c>
    </row>
    <row r="5">
      <c r="A5" s="111" t="inlineStr">
        <is>
          <t>Datum</t>
        </is>
      </c>
      <c r="B5" s="111" t="inlineStr">
        <is>
          <t>von</t>
        </is>
      </c>
      <c r="C5" s="111" t="inlineStr">
        <is>
          <t>bis</t>
        </is>
      </c>
      <c r="D5" s="111" t="inlineStr">
        <is>
          <t>Std.</t>
        </is>
      </c>
      <c r="E5" s="111" t="inlineStr">
        <is>
          <t>Ort / Projekt</t>
        </is>
      </c>
      <c r="F5" s="111" t="inlineStr">
        <is>
          <t>Erläuterungen</t>
        </is>
      </c>
    </row>
    <row r="6">
      <c r="A6" s="112" t="n">
        <v>46082</v>
      </c>
      <c r="B6" s="113" t="n"/>
      <c r="C6" s="113" t="n"/>
      <c r="D6" s="114">
        <f>(C6-B6+(C6&lt;B6))*24</f>
        <v/>
      </c>
      <c r="E6" s="115" t="n"/>
      <c r="F6" s="109" t="n"/>
    </row>
    <row r="7">
      <c r="A7" s="112" t="n">
        <v>46083</v>
      </c>
      <c r="B7" s="113" t="n"/>
      <c r="C7" s="113" t="n"/>
      <c r="D7" s="114">
        <f>(C7-B7+(C7&lt;B7))*24</f>
        <v/>
      </c>
      <c r="E7" s="115" t="n"/>
      <c r="F7" s="109" t="n"/>
    </row>
    <row r="8">
      <c r="A8" s="112" t="n">
        <v>46084</v>
      </c>
      <c r="B8" s="113" t="n"/>
      <c r="C8" s="113" t="n"/>
      <c r="D8" s="114">
        <f>(C8-B8+(C8&lt;B8))*24</f>
        <v/>
      </c>
      <c r="E8" s="115" t="n"/>
      <c r="F8" s="109" t="n"/>
    </row>
    <row r="9">
      <c r="A9" s="112" t="n">
        <v>46085</v>
      </c>
      <c r="B9" s="113" t="n"/>
      <c r="C9" s="113" t="n"/>
      <c r="D9" s="114">
        <f>(C9-B9+(C9&lt;B9))*24</f>
        <v/>
      </c>
      <c r="E9" s="115" t="n"/>
      <c r="F9" s="109" t="n"/>
    </row>
    <row r="10">
      <c r="A10" s="112" t="n">
        <v>46086</v>
      </c>
      <c r="B10" s="113" t="n">
        <v>0.4333333333333333</v>
      </c>
      <c r="C10" s="113" t="n">
        <v>0.6</v>
      </c>
      <c r="D10" s="114">
        <f>(C10-B10+(C10&lt;B10))*24</f>
        <v/>
      </c>
      <c r="E10" s="115" t="n"/>
      <c r="F10" s="109" t="n"/>
    </row>
    <row r="11">
      <c r="A11" s="112" t="n">
        <v>46087</v>
      </c>
      <c r="B11" s="113" t="n">
        <v>0.4972222222222222</v>
      </c>
      <c r="C11" s="113" t="n">
        <v>0.06388888888888888</v>
      </c>
      <c r="D11" s="114">
        <f>(C11-B11+(C11&lt;B11))*24</f>
        <v/>
      </c>
      <c r="E11" s="115" t="n"/>
      <c r="F11" s="109" t="n"/>
    </row>
    <row r="12">
      <c r="A12" s="112" t="n">
        <v>46088</v>
      </c>
      <c r="B12" s="113" t="n">
        <v>0.5069444444444444</v>
      </c>
      <c r="C12" s="113" t="n">
        <v>0.7722222222222223</v>
      </c>
      <c r="D12" s="114">
        <f>(C12-B12+(C12&lt;B12))*24</f>
        <v/>
      </c>
      <c r="E12" s="115" t="n"/>
      <c r="F12" s="109" t="n"/>
    </row>
    <row r="13">
      <c r="A13" s="112" t="n">
        <v>46089</v>
      </c>
      <c r="B13" s="113" t="n">
        <v>0.5319444444444444</v>
      </c>
      <c r="C13" s="113" t="n">
        <v>0.8423611111111111</v>
      </c>
      <c r="D13" s="114">
        <f>(C13-B13+(C13&lt;B13))*24</f>
        <v/>
      </c>
      <c r="E13" s="115" t="n"/>
      <c r="F13" s="109" t="n"/>
    </row>
    <row r="14">
      <c r="A14" s="112" t="n">
        <v>46090</v>
      </c>
      <c r="B14" s="113" t="n">
        <v>0.5520833333333334</v>
      </c>
      <c r="C14" s="113" t="n">
        <v>0.7736111111111111</v>
      </c>
      <c r="D14" s="114">
        <f>(C14-B14+(C14&lt;B14))*24</f>
        <v/>
      </c>
      <c r="E14" s="115" t="n"/>
      <c r="F14" s="109" t="n"/>
    </row>
    <row r="15">
      <c r="A15" s="112" t="n">
        <v>46091</v>
      </c>
      <c r="B15" s="113" t="n"/>
      <c r="C15" s="113" t="n"/>
      <c r="D15" s="114">
        <f>(C15-B15+(C15&lt;B15))*24</f>
        <v/>
      </c>
      <c r="E15" s="115" t="n"/>
      <c r="F15" s="109" t="n"/>
    </row>
    <row r="16">
      <c r="A16" s="112" t="n">
        <v>46092</v>
      </c>
      <c r="B16" s="113" t="n"/>
      <c r="C16" s="113" t="n"/>
      <c r="D16" s="114">
        <f>(C16-B16+(C16&lt;B16))*24</f>
        <v/>
      </c>
      <c r="E16" s="115" t="n"/>
      <c r="F16" s="109" t="n"/>
    </row>
    <row r="17">
      <c r="A17" s="112" t="n">
        <v>46093</v>
      </c>
      <c r="B17" s="113" t="n"/>
      <c r="C17" s="113" t="n"/>
      <c r="D17" s="114">
        <f>(C17-B17+(C17&lt;B17))*24</f>
        <v/>
      </c>
      <c r="E17" s="115" t="n"/>
      <c r="F17" s="109" t="n"/>
    </row>
    <row r="18">
      <c r="A18" s="112" t="n">
        <v>46094</v>
      </c>
      <c r="B18" s="113" t="n"/>
      <c r="C18" s="113" t="n"/>
      <c r="D18" s="114">
        <f>(C18-B18+(C18&lt;B18))*24</f>
        <v/>
      </c>
      <c r="E18" s="115" t="n"/>
      <c r="F18" s="109" t="n"/>
    </row>
    <row r="19">
      <c r="A19" s="112" t="n">
        <v>46095</v>
      </c>
      <c r="B19" s="113" t="n"/>
      <c r="C19" s="113" t="n"/>
      <c r="D19" s="114">
        <f>(C19-B19+(C19&lt;B19))*24</f>
        <v/>
      </c>
      <c r="E19" s="115" t="n"/>
      <c r="F19" s="109" t="n"/>
    </row>
    <row r="20">
      <c r="A20" s="112" t="n">
        <v>46096</v>
      </c>
      <c r="B20" s="113" t="n"/>
      <c r="C20" s="113" t="n"/>
      <c r="D20" s="114">
        <f>(C20-B20+(C20&lt;B20))*24</f>
        <v/>
      </c>
      <c r="E20" s="115" t="n"/>
      <c r="F20" s="109" t="n"/>
    </row>
    <row r="21">
      <c r="A21" s="112" t="n">
        <v>46097</v>
      </c>
      <c r="B21" s="113" t="n">
        <v>0.4326388888888889</v>
      </c>
      <c r="C21" s="113" t="n">
        <v>0.6993055555555555</v>
      </c>
      <c r="D21" s="114">
        <f>(C21-B21+(C21&lt;B21))*24</f>
        <v/>
      </c>
      <c r="E21" s="115" t="n"/>
      <c r="F21" s="109" t="n"/>
    </row>
    <row r="22">
      <c r="A22" s="112" t="n">
        <v>46098</v>
      </c>
      <c r="B22" s="113" t="n"/>
      <c r="C22" s="113" t="n"/>
      <c r="D22" s="114">
        <f>(C22-B22+(C22&lt;B22))*24</f>
        <v/>
      </c>
      <c r="E22" s="115" t="n"/>
      <c r="F22" s="109" t="n"/>
    </row>
    <row r="23">
      <c r="A23" s="112" t="n">
        <v>46099</v>
      </c>
      <c r="B23" s="113" t="n"/>
      <c r="C23" s="113" t="n"/>
      <c r="D23" s="114">
        <f>(C23-B23+(C23&lt;B23))*24</f>
        <v/>
      </c>
      <c r="E23" s="115" t="n"/>
      <c r="F23" s="109" t="n"/>
    </row>
    <row r="24">
      <c r="A24" s="112" t="n">
        <v>46100</v>
      </c>
      <c r="B24" s="113" t="n">
        <v>0.4069444444444444</v>
      </c>
      <c r="C24" s="113" t="n">
        <v>0.55625</v>
      </c>
      <c r="D24" s="114">
        <f>(C24-B24+(C24&lt;B24))*24</f>
        <v/>
      </c>
      <c r="E24" s="115" t="n"/>
      <c r="F24" s="109" t="n"/>
    </row>
    <row r="25">
      <c r="A25" s="112" t="n">
        <v>46101</v>
      </c>
      <c r="B25" s="113" t="n"/>
      <c r="C25" s="113" t="n"/>
      <c r="D25" s="114">
        <f>(C25-B25+(C25&lt;B25))*24</f>
        <v/>
      </c>
      <c r="E25" s="115" t="n"/>
      <c r="F25" s="109" t="n"/>
    </row>
    <row r="26">
      <c r="A26" s="112" t="n">
        <v>46102</v>
      </c>
      <c r="B26" s="113" t="n"/>
      <c r="C26" s="113" t="n"/>
      <c r="D26" s="114">
        <f>(C26-B26+(C26&lt;B26))*24</f>
        <v/>
      </c>
      <c r="E26" s="115" t="n"/>
      <c r="F26" s="109" t="n"/>
    </row>
    <row r="27">
      <c r="A27" s="112" t="n">
        <v>46103</v>
      </c>
      <c r="B27" s="113" t="n">
        <v>0.6888888888888889</v>
      </c>
      <c r="C27" s="113" t="n">
        <v>0.9097222222222222</v>
      </c>
      <c r="D27" s="114">
        <f>(C27-B27+(C27&lt;B27))*24</f>
        <v/>
      </c>
      <c r="E27" s="115" t="n"/>
      <c r="F27" s="109" t="n"/>
    </row>
    <row r="28">
      <c r="A28" s="112" t="n">
        <v>46104</v>
      </c>
      <c r="B28" s="113" t="n">
        <v>0.3756944444444444</v>
      </c>
      <c r="C28" s="113" t="n">
        <v>0.7180555555555556</v>
      </c>
      <c r="D28" s="114">
        <f>(C28-B28+(C28&lt;B28))*24</f>
        <v/>
      </c>
      <c r="E28" s="115" t="n"/>
      <c r="F28" s="109" t="n"/>
    </row>
    <row r="29">
      <c r="A29" s="112" t="n">
        <v>46104</v>
      </c>
      <c r="B29" s="113" t="n">
        <v>0.7923611111111111</v>
      </c>
      <c r="C29" s="113" t="n">
        <v>0.9388888888888889</v>
      </c>
      <c r="D29" s="114">
        <f>(C29-B29+(C29&lt;B29))*24</f>
        <v/>
      </c>
      <c r="E29" s="115" t="n"/>
      <c r="F29" s="109" t="n"/>
    </row>
    <row r="30">
      <c r="A30" s="112" t="n">
        <v>46105</v>
      </c>
      <c r="B30" s="113" t="n"/>
      <c r="C30" s="113" t="n"/>
      <c r="D30" s="114">
        <f>(C30-B30+(C30&lt;B30))*24</f>
        <v/>
      </c>
      <c r="E30" s="115" t="n"/>
      <c r="F30" s="109" t="n"/>
    </row>
    <row r="31">
      <c r="A31" s="112" t="n">
        <v>46106</v>
      </c>
      <c r="B31" s="113" t="n"/>
      <c r="C31" s="113" t="n"/>
      <c r="D31" s="114">
        <f>(C31-B31+(C31&lt;B31))*24</f>
        <v/>
      </c>
      <c r="E31" s="115" t="n"/>
      <c r="F31" s="109" t="n"/>
    </row>
    <row r="32">
      <c r="A32" s="112" t="n">
        <v>46107</v>
      </c>
      <c r="B32" s="113" t="n"/>
      <c r="C32" s="113" t="n"/>
      <c r="D32" s="114">
        <f>(C32-B32+(C32&lt;B32))*24</f>
        <v/>
      </c>
      <c r="E32" s="115" t="n"/>
      <c r="F32" s="109" t="n"/>
    </row>
    <row r="33">
      <c r="A33" s="112" t="n">
        <v>46108</v>
      </c>
      <c r="B33" s="113" t="n">
        <v>0.4805555555555556</v>
      </c>
      <c r="C33" s="113" t="n">
        <v>0.65625</v>
      </c>
      <c r="D33" s="114">
        <f>(C33-B33+(C33&lt;B33))*24</f>
        <v/>
      </c>
      <c r="E33" s="115" t="n"/>
      <c r="F33" s="109" t="inlineStr">
        <is>
          <t>agent swarm</t>
        </is>
      </c>
    </row>
    <row r="34">
      <c r="A34" s="112" t="n">
        <v>46109</v>
      </c>
      <c r="B34" s="113" t="n"/>
      <c r="C34" s="113" t="n"/>
      <c r="D34" s="114">
        <f>(C34-B34+(C34&lt;B34))*24</f>
        <v/>
      </c>
      <c r="E34" s="115" t="n"/>
      <c r="F34" s="109" t="n"/>
    </row>
    <row r="35">
      <c r="A35" s="112" t="n">
        <v>46110</v>
      </c>
      <c r="B35" s="113" t="n">
        <v>0.575</v>
      </c>
      <c r="C35" s="113" t="n">
        <v>0.7722222222222223</v>
      </c>
      <c r="D35" s="114">
        <f>(C35-B35+(C35&lt;B35))*24</f>
        <v/>
      </c>
      <c r="E35" s="115" t="n"/>
      <c r="F35" s="109" t="n"/>
    </row>
    <row r="36">
      <c r="A36" s="112" t="n">
        <v>46111</v>
      </c>
      <c r="B36" s="113" t="n"/>
      <c r="C36" s="113" t="n"/>
      <c r="D36" s="114">
        <f>(C36-B36+(C36&lt;B36))*24</f>
        <v/>
      </c>
      <c r="E36" s="115" t="n"/>
      <c r="F36" s="109" t="n"/>
    </row>
    <row r="37">
      <c r="A37" s="112" t="n">
        <v>46112</v>
      </c>
      <c r="B37" s="113" t="n"/>
      <c r="C37" s="113" t="n"/>
      <c r="D37" s="114">
        <f>(C37-B37+(C37&lt;B37))*24</f>
        <v/>
      </c>
      <c r="E37" s="115" t="n"/>
      <c r="F37" s="109" t="n"/>
    </row>
    <row r="40">
      <c r="A40" s="116" t="inlineStr">
        <is>
          <t>Gesamt</t>
        </is>
      </c>
      <c r="B40" s="116" t="n"/>
      <c r="C40" s="116" t="n"/>
      <c r="D40" s="117">
        <f>SUM(D6:D37)</f>
        <v/>
      </c>
    </row>
    <row r="42">
      <c r="A42" s="109" t="inlineStr">
        <is>
          <t>Max. Std. Auszahlung (556€/18,50€ Stundenlohn)</t>
        </is>
      </c>
      <c r="B42" s="109" t="n"/>
      <c r="C42" s="109" t="n"/>
      <c r="D42" s="118">
        <f>556/18.5</f>
        <v/>
      </c>
    </row>
    <row r="43">
      <c r="A43" s="119" t="inlineStr">
        <is>
          <t>Überstunden</t>
        </is>
      </c>
      <c r="B43" s="109" t="n"/>
      <c r="C43" s="109" t="n"/>
      <c r="D43" s="118">
        <f>D40-D42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tabSelected="1" zoomScale="139" workbookViewId="0">
      <selection activeCell="F40" sqref="F40"/>
    </sheetView>
  </sheetViews>
  <sheetFormatPr baseColWidth="10" defaultRowHeight="14"/>
  <cols>
    <col width="24" bestFit="1" customWidth="1" min="1" max="1"/>
    <col width="14" bestFit="1" customWidth="1" min="2" max="2"/>
    <col width="40.3984375" bestFit="1" customWidth="1" min="4" max="4"/>
  </cols>
  <sheetData>
    <row r="1">
      <c r="A1" s="1" t="inlineStr">
        <is>
          <t xml:space="preserve">Aufwandsnachweis für BV. </t>
        </is>
      </c>
      <c r="B1" s="2" t="n"/>
      <c r="C1" s="4" t="n"/>
      <c r="D1" s="5" t="inlineStr">
        <is>
          <t>SUB-events GmbH</t>
        </is>
      </c>
    </row>
    <row r="2" ht="15" customHeight="1" thickBot="1">
      <c r="A2" s="1" t="inlineStr">
        <is>
          <t>NAME</t>
        </is>
      </c>
      <c r="B2" s="6" t="inlineStr">
        <is>
          <t>Merlin Krämer</t>
        </is>
      </c>
      <c r="C2" s="4" t="n"/>
      <c r="D2" s="7" t="inlineStr">
        <is>
          <t>Lauenbruch Ost 1, 21079 Hamburg</t>
        </is>
      </c>
    </row>
    <row r="4">
      <c r="A4" s="31" t="inlineStr">
        <is>
          <t>Monat</t>
        </is>
      </c>
      <c r="B4" s="31" t="inlineStr">
        <is>
          <t>Überstunden</t>
        </is>
      </c>
    </row>
    <row r="5">
      <c r="A5" s="120" t="n">
        <v>46082</v>
      </c>
      <c r="B5" s="121">
        <f>'Mär26'!D43</f>
        <v/>
      </c>
    </row>
    <row r="6">
      <c r="A6" s="32" t="n"/>
      <c r="B6" s="34" t="n"/>
    </row>
    <row r="7">
      <c r="A7" s="122" t="inlineStr">
        <is>
          <t>Gesamt</t>
        </is>
      </c>
      <c r="B7" s="121">
        <f>SUM(B5:B5)</f>
        <v/>
      </c>
    </row>
    <row r="8">
      <c r="A8" s="32" t="n"/>
      <c r="B8" s="34" t="n"/>
    </row>
    <row r="9">
      <c r="A9" s="32" t="n"/>
      <c r="B9" s="34" t="n"/>
    </row>
    <row r="10">
      <c r="A10" s="32" t="n"/>
      <c r="B10" s="34" t="n"/>
    </row>
    <row r="11">
      <c r="A11" s="103" t="n"/>
      <c r="B11" s="104" t="n"/>
    </row>
    <row r="12">
      <c r="A12" s="33" t="n"/>
      <c r="B12" s="34" t="n"/>
    </row>
    <row r="13">
      <c r="A13" s="105" t="n"/>
      <c r="B13" s="104" t="n"/>
    </row>
    <row r="14">
      <c r="A14" s="30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Arnold Möller</dc:creator>
  <dcterms:created xsi:type="dcterms:W3CDTF">2022-12-20T10:31:47Z</dcterms:created>
  <dcterms:modified xsi:type="dcterms:W3CDTF">2026-03-30T04:08:36Z</dcterms:modified>
  <cp:lastModifiedBy>Merlin Krämer</cp:lastModifiedBy>
</cp:coreProperties>
</file>